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" sheetId="1" state="visible" r:id="rId1"/>
    <sheet xmlns:r="http://schemas.openxmlformats.org/officeDocument/2006/relationships" name="Class" sheetId="2" state="visible" r:id="rId2"/>
    <sheet xmlns:r="http://schemas.openxmlformats.org/officeDocument/2006/relationships" name="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+#,##0;-#,##0;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18" customWidth="1" min="5" max="5"/>
    <col width="14" customWidth="1" min="6" max="6"/>
    <col width="14" customWidth="1" min="7" max="7"/>
    <col width="26" customWidth="1" min="8" max="8"/>
    <col width="48" customWidth="1" min="9" max="9"/>
  </cols>
  <sheetData>
    <row r="1">
      <c r="A1" s="1" t="inlineStr">
        <is>
          <t>Group D scores to enter in the shared sheet – INSTANCES FOURNIES PAR GOOGLE</t>
        </is>
      </c>
    </row>
    <row r="2">
      <c r="A2" s="2" t="inlineStr">
        <is>
          <t>Copy column B into group D's column of the shared sheet (same row order). Blue = our new score (value to enter); black = formulas.</t>
        </is>
      </c>
    </row>
    <row r="4" ht="32" customHeight="1">
      <c r="A4" s="3" t="inlineStr">
        <is>
          <t>Instance (as in the shared sheet)</t>
        </is>
      </c>
      <c r="B4" s="3" t="inlineStr">
        <is>
          <t>Group D – NEW score</t>
        </is>
      </c>
      <c r="C4" s="3" t="inlineStr">
        <is>
          <t>Group D – old score (sheet)</t>
        </is>
      </c>
      <c r="D4" s="3" t="inlineStr">
        <is>
          <t>Gain</t>
        </is>
      </c>
      <c r="E4" s="3" t="inlineStr">
        <is>
          <t>Best in class (sheet)</t>
        </is>
      </c>
      <c r="F4" s="3" t="inlineStr">
        <is>
          <t>Gap to best</t>
        </is>
      </c>
      <c r="G4" s="3" t="inlineStr">
        <is>
          <t>Status</t>
        </is>
      </c>
      <c r="H4" s="3" t="inlineStr">
        <is>
          <t>How it was obtained</t>
        </is>
      </c>
      <c r="I4" s="3" t="inlineStr">
        <is>
          <t>.out file</t>
        </is>
      </c>
    </row>
    <row r="5">
      <c r="A5" s="4" t="inlineStr">
        <is>
          <t>kittens</t>
        </is>
      </c>
      <c r="B5" s="5" t="n">
        <v>1024812</v>
      </c>
      <c r="C5" s="6" t="n">
        <v>1022115</v>
      </c>
      <c r="D5" s="7">
        <f>B5-C5</f>
        <v/>
      </c>
      <c r="E5" s="6" t="n">
        <v>1025096</v>
      </c>
      <c r="F5" s="7">
        <f>B5-E5</f>
        <v/>
      </c>
      <c r="G5" s="4">
        <f>IF(B5&gt;E5,"beats best",IF(B5=E5,"= best","below best"))</f>
        <v/>
      </c>
      <c r="H5" s="4" t="inlineStr">
        <is>
          <t>greedy + re-pack + LNS</t>
        </is>
      </c>
      <c r="I5" s="4" t="inlineStr">
        <is>
          <t>out/best_google/kittens.out</t>
        </is>
      </c>
    </row>
    <row r="6">
      <c r="A6" s="4" t="inlineStr">
        <is>
          <t>me_at_the_zoo</t>
        </is>
      </c>
      <c r="B6" s="5" t="n">
        <v>516557</v>
      </c>
      <c r="C6" s="6" t="n">
        <v>507906</v>
      </c>
      <c r="D6" s="7">
        <f>B6-C6</f>
        <v/>
      </c>
      <c r="E6" s="6" t="n">
        <v>516557</v>
      </c>
      <c r="F6" s="7">
        <f>B6-E6</f>
        <v/>
      </c>
      <c r="G6" s="4">
        <f>IF(B6&gt;E6,"beats best",IF(B6=E6,"= best","below best"))</f>
        <v/>
      </c>
      <c r="H6" s="4" t="inlineStr">
        <is>
          <t>exact (proven optimum)</t>
        </is>
      </c>
      <c r="I6" s="4" t="inlineStr">
        <is>
          <t>out/best_google/me_at_the_zoo.out</t>
        </is>
      </c>
    </row>
    <row r="7">
      <c r="A7" s="4" t="inlineStr">
        <is>
          <t>trending_today</t>
        </is>
      </c>
      <c r="B7" s="5" t="n">
        <v>499997</v>
      </c>
      <c r="C7" s="6" t="n">
        <v>499966</v>
      </c>
      <c r="D7" s="7">
        <f>B7-C7</f>
        <v/>
      </c>
      <c r="E7" s="6" t="n">
        <v>500000</v>
      </c>
      <c r="F7" s="7">
        <f>B7-E7</f>
        <v/>
      </c>
      <c r="G7" s="4">
        <f>IF(B7&gt;E7,"beats best",IF(B7=E7,"= best","below best"))</f>
        <v/>
      </c>
      <c r="H7" s="4" t="inlineStr">
        <is>
          <t>greedy + re-pack + LNS</t>
        </is>
      </c>
      <c r="I7" s="4" t="inlineStr">
        <is>
          <t>out/best_google/trending_today.out</t>
        </is>
      </c>
    </row>
    <row r="8">
      <c r="A8" s="4" t="inlineStr">
        <is>
          <t>videos_worth_spreading</t>
        </is>
      </c>
      <c r="B8" s="5" t="n">
        <v>613851</v>
      </c>
      <c r="C8" s="6" t="n">
        <v>609385</v>
      </c>
      <c r="D8" s="7">
        <f>B8-C8</f>
        <v/>
      </c>
      <c r="E8" s="6" t="n">
        <v>614545</v>
      </c>
      <c r="F8" s="7">
        <f>B8-E8</f>
        <v/>
      </c>
      <c r="G8" s="4">
        <f>IF(B8&gt;E8,"beats best",IF(B8=E8,"= best","below best"))</f>
        <v/>
      </c>
      <c r="H8" s="4" t="inlineStr">
        <is>
          <t>greedy + re-pack + LNS</t>
        </is>
      </c>
      <c r="I8" s="4" t="inlineStr">
        <is>
          <t>out/best_google/videos_worth_spreading.out</t>
        </is>
      </c>
    </row>
    <row r="9">
      <c r="A9" s="8" t="inlineStr">
        <is>
          <t>Total</t>
        </is>
      </c>
      <c r="B9" s="9">
        <f>SUM(B5:B8)</f>
        <v/>
      </c>
      <c r="C9" s="9">
        <f>SUM(C5:C8)</f>
        <v/>
      </c>
      <c r="D9" s="10">
        <f>SUM(D5:D8)</f>
        <v/>
      </c>
      <c r="E9" s="9">
        <f>SUM(E5:E8)</f>
        <v/>
      </c>
      <c r="F9" s="10">
        <f>SUM(F5:F8)</f>
        <v/>
      </c>
      <c r="G9" s="8">
        <f>COUNTIF(G5:G8,"beats best")+COUNTIF(G5:G8,"= best")&amp;" of "&amp;ROWS(G5:G8)&amp;" at or above best"</f>
        <v/>
      </c>
    </row>
    <row r="11">
      <c r="A11" s="11" t="inlineStr">
        <is>
          <t>Sources: old scores and best-in-class read from the shared class sheet (fetched 2026-10-18); new scores recomputed with the official scoring formula (solution.py score()) on each .out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18" customWidth="1" min="5" max="5"/>
    <col width="14" customWidth="1" min="6" max="6"/>
    <col width="14" customWidth="1" min="7" max="7"/>
    <col width="26" customWidth="1" min="8" max="8"/>
    <col width="48" customWidth="1" min="9" max="9"/>
  </cols>
  <sheetData>
    <row r="1">
      <c r="A1" s="1" t="inlineStr">
        <is>
          <t>Group D scores to enter in the shared sheet – INSTANCES DE LA PROMO</t>
        </is>
      </c>
    </row>
    <row r="2">
      <c r="A2" s="2" t="inlineStr">
        <is>
          <t>Copy column B into group D's column of the shared sheet (same row order). Blue = our new score (value to enter); black = formulas.</t>
        </is>
      </c>
    </row>
    <row r="4" ht="32" customHeight="1">
      <c r="A4" s="3" t="inlineStr">
        <is>
          <t>Instance (as in the shared sheet)</t>
        </is>
      </c>
      <c r="B4" s="3" t="inlineStr">
        <is>
          <t>Group D – NEW score</t>
        </is>
      </c>
      <c r="C4" s="3" t="inlineStr">
        <is>
          <t>Group D – old score (sheet)</t>
        </is>
      </c>
      <c r="D4" s="3" t="inlineStr">
        <is>
          <t>Gain</t>
        </is>
      </c>
      <c r="E4" s="3" t="inlineStr">
        <is>
          <t>Best in class (sheet)</t>
        </is>
      </c>
      <c r="F4" s="3" t="inlineStr">
        <is>
          <t>Gap to best</t>
        </is>
      </c>
      <c r="G4" s="3" t="inlineStr">
        <is>
          <t>Status</t>
        </is>
      </c>
      <c r="H4" s="3" t="inlineStr">
        <is>
          <t>How it was obtained</t>
        </is>
      </c>
      <c r="I4" s="3" t="inlineStr">
        <is>
          <t>.out file</t>
        </is>
      </c>
    </row>
    <row r="5">
      <c r="A5" s="4" t="inlineStr">
        <is>
          <t>custom_dejavu42</t>
        </is>
      </c>
      <c r="B5" s="5" t="n">
        <v>64596</v>
      </c>
      <c r="C5" s="6" t="n">
        <v>64428</v>
      </c>
      <c r="D5" s="7">
        <f>B5-C5</f>
        <v/>
      </c>
      <c r="E5" s="6" t="n">
        <v>65003</v>
      </c>
      <c r="F5" s="7">
        <f>B5-E5</f>
        <v/>
      </c>
      <c r="G5" s="4">
        <f>IF(B5&gt;E5,"beats best",IF(B5=E5,"= best","below best"))</f>
        <v/>
      </c>
      <c r="H5" s="4" t="inlineStr">
        <is>
          <t>greedy + re-pack + LNS</t>
        </is>
      </c>
      <c r="I5" s="4" t="inlineStr">
        <is>
          <t>out/best_eval/custom_dejavu42.out</t>
        </is>
      </c>
    </row>
    <row r="6">
      <c r="A6" s="4" t="inlineStr">
        <is>
          <t>custom_universallambda42</t>
        </is>
      </c>
      <c r="B6" s="5" t="n">
        <v>1339903</v>
      </c>
      <c r="C6" s="6" t="n">
        <v>1339620</v>
      </c>
      <c r="D6" s="7">
        <f>B6-C6</f>
        <v/>
      </c>
      <c r="E6" s="6" t="n">
        <v>1342673</v>
      </c>
      <c r="F6" s="7">
        <f>B6-E6</f>
        <v/>
      </c>
      <c r="G6" s="4">
        <f>IF(B6&gt;E6,"beats best",IF(B6=E6,"= best","below best"))</f>
        <v/>
      </c>
      <c r="H6" s="4" t="inlineStr">
        <is>
          <t>greedy + re-pack + LNS</t>
        </is>
      </c>
      <c r="I6" s="4" t="inlineStr">
        <is>
          <t>out/best_eval/custom_universallambda42.out</t>
        </is>
      </c>
    </row>
    <row r="7">
      <c r="A7" s="4" t="inlineStr">
        <is>
          <t>custom_universallambda42_asymmetric</t>
        </is>
      </c>
      <c r="B7" s="5" t="n">
        <v>976552</v>
      </c>
      <c r="C7" s="6" t="n">
        <v>974865</v>
      </c>
      <c r="D7" s="7">
        <f>B7-C7</f>
        <v/>
      </c>
      <c r="E7" s="6" t="n">
        <v>976610</v>
      </c>
      <c r="F7" s="7">
        <f>B7-E7</f>
        <v/>
      </c>
      <c r="G7" s="4">
        <f>IF(B7&gt;E7,"beats best",IF(B7=E7,"= best","below best"))</f>
        <v/>
      </c>
      <c r="H7" s="4" t="inlineStr">
        <is>
          <t>greedy + re-pack + LNS</t>
        </is>
      </c>
      <c r="I7" s="4" t="inlineStr">
        <is>
          <t>out/best_eval/custom_universallambda42_asymmetric.out</t>
        </is>
      </c>
    </row>
    <row r="8">
      <c r="A8" s="4" t="inlineStr">
        <is>
          <t>instance1 (corrigée)</t>
        </is>
      </c>
      <c r="B8" s="5" t="n">
        <v>1496478</v>
      </c>
      <c r="C8" s="6" t="n">
        <v>1496448</v>
      </c>
      <c r="D8" s="7">
        <f>B8-C8</f>
        <v/>
      </c>
      <c r="E8" s="6" t="n">
        <v>1498093</v>
      </c>
      <c r="F8" s="7">
        <f>B8-E8</f>
        <v/>
      </c>
      <c r="G8" s="4">
        <f>IF(B8&gt;E8,"beats best",IF(B8=E8,"= best","below best"))</f>
        <v/>
      </c>
      <c r="H8" s="4" t="inlineStr">
        <is>
          <t>greedy + re-pack</t>
        </is>
      </c>
      <c r="I8" s="4" t="inlineStr">
        <is>
          <t>out/best_eval/instance1.out</t>
        </is>
      </c>
    </row>
    <row r="9">
      <c r="A9" s="4" t="inlineStr">
        <is>
          <t>instance2 (corrigée)</t>
        </is>
      </c>
      <c r="B9" s="5" t="n">
        <v>1966090</v>
      </c>
      <c r="C9" s="6" t="n">
        <v>1966090</v>
      </c>
      <c r="D9" s="7">
        <f>B9-C9</f>
        <v/>
      </c>
      <c r="E9" s="6" t="n">
        <v>1971053</v>
      </c>
      <c r="F9" s="7">
        <f>B9-E9</f>
        <v/>
      </c>
      <c r="G9" s="4">
        <f>IF(B9&gt;E9,"beats best",IF(B9=E9,"= best","below best"))</f>
        <v/>
      </c>
      <c r="H9" s="4" t="inlineStr">
        <is>
          <t>greedy + re-pack</t>
        </is>
      </c>
      <c r="I9" s="4" t="inlineStr">
        <is>
          <t>out/best_eval/instance2.out</t>
        </is>
      </c>
    </row>
    <row r="10">
      <c r="A10" s="4" t="inlineStr">
        <is>
          <t>4990_246_84901_50.in</t>
        </is>
      </c>
      <c r="B10" s="5" t="n">
        <v>1799750</v>
      </c>
      <c r="C10" s="6" t="n">
        <v>1799210</v>
      </c>
      <c r="D10" s="7">
        <f>B10-C10</f>
        <v/>
      </c>
      <c r="E10" s="6" t="n">
        <v>1800557</v>
      </c>
      <c r="F10" s="7">
        <f>B10-E10</f>
        <v/>
      </c>
      <c r="G10" s="4">
        <f>IF(B10&gt;E10,"beats best",IF(B10=E10,"= best","below best"))</f>
        <v/>
      </c>
      <c r="H10" s="4" t="inlineStr">
        <is>
          <t>greedy + re-pack + LNS</t>
        </is>
      </c>
      <c r="I10" s="4" t="inlineStr">
        <is>
          <t>out/best_eval/4990_246_84901_50.out</t>
        </is>
      </c>
    </row>
    <row r="11">
      <c r="A11" s="4" t="inlineStr">
        <is>
          <t>6970_311_100000_69.in</t>
        </is>
      </c>
      <c r="B11" s="5" t="n">
        <v>1837941</v>
      </c>
      <c r="C11" s="6" t="n">
        <v>1837888</v>
      </c>
      <c r="D11" s="7">
        <f>B11-C11</f>
        <v/>
      </c>
      <c r="E11" s="6" t="n">
        <v>1841035</v>
      </c>
      <c r="F11" s="7">
        <f>B11-E11</f>
        <v/>
      </c>
      <c r="G11" s="4">
        <f>IF(B11&gt;E11,"beats best",IF(B11=E11,"= best","below best"))</f>
        <v/>
      </c>
      <c r="H11" s="4" t="inlineStr">
        <is>
          <t>greedy + re-pack</t>
        </is>
      </c>
      <c r="I11" s="4" t="inlineStr">
        <is>
          <t>out/best_eval/6970_311_100000_69.out</t>
        </is>
      </c>
    </row>
    <row r="12">
      <c r="A12" s="4" t="inlineStr">
        <is>
          <t>10000_500_100000_100.in</t>
        </is>
      </c>
      <c r="B12" s="5" t="n">
        <v>2020908</v>
      </c>
      <c r="C12" s="6" t="n">
        <v>2020907</v>
      </c>
      <c r="D12" s="7">
        <f>B12-C12</f>
        <v/>
      </c>
      <c r="E12" s="6" t="n">
        <v>2021538</v>
      </c>
      <c r="F12" s="7">
        <f>B12-E12</f>
        <v/>
      </c>
      <c r="G12" s="4">
        <f>IF(B12&gt;E12,"beats best",IF(B12=E12,"= best","below best"))</f>
        <v/>
      </c>
      <c r="H12" s="4" t="inlineStr">
        <is>
          <t>greedy + re-pack</t>
        </is>
      </c>
      <c r="I12" s="4" t="inlineStr">
        <is>
          <t>out/best_eval/10000_500_100000_100.out</t>
        </is>
      </c>
    </row>
    <row r="13">
      <c r="A13" s="4" t="inlineStr">
        <is>
          <t>3860_246_84901_66.in</t>
        </is>
      </c>
      <c r="B13" s="5" t="n">
        <v>1977807</v>
      </c>
      <c r="C13" s="6" t="n">
        <v>1977797</v>
      </c>
      <c r="D13" s="7">
        <f>B13-C13</f>
        <v/>
      </c>
      <c r="E13" s="6" t="n">
        <v>1978585</v>
      </c>
      <c r="F13" s="7">
        <f>B13-E13</f>
        <v/>
      </c>
      <c r="G13" s="4">
        <f>IF(B13&gt;E13,"beats best",IF(B13=E13,"= best","below best"))</f>
        <v/>
      </c>
      <c r="H13" s="4" t="inlineStr">
        <is>
          <t>greedy + re-pack</t>
        </is>
      </c>
      <c r="I13" s="4" t="inlineStr">
        <is>
          <t>out/best_eval/3860_246_84901_66.out</t>
        </is>
      </c>
    </row>
    <row r="14">
      <c r="A14" s="4" t="inlineStr">
        <is>
          <t>regional_instance.in</t>
        </is>
      </c>
      <c r="B14" s="5" t="n">
        <v>2435730</v>
      </c>
      <c r="C14" s="6" t="n">
        <v>2367395</v>
      </c>
      <c r="D14" s="7">
        <f>B14-C14</f>
        <v/>
      </c>
      <c r="E14" s="6" t="n">
        <v>2432239</v>
      </c>
      <c r="F14" s="7">
        <f>B14-E14</f>
        <v/>
      </c>
      <c r="G14" s="4">
        <f>IF(B14&gt;E14,"beats best",IF(B14=E14,"= best","below best"))</f>
        <v/>
      </c>
      <c r="H14" s="4" t="inlineStr">
        <is>
          <t>exact (time limit) + LNS</t>
        </is>
      </c>
      <c r="I14" s="4" t="inlineStr">
        <is>
          <t>out/best_eval/regional_instance.out</t>
        </is>
      </c>
    </row>
    <row r="15">
      <c r="A15" s="4" t="inlineStr">
        <is>
          <t>zipF_instance.in</t>
        </is>
      </c>
      <c r="B15" s="5" t="n">
        <v>1958529</v>
      </c>
      <c r="C15" s="6" t="n">
        <v>1915779</v>
      </c>
      <c r="D15" s="7">
        <f>B15-C15</f>
        <v/>
      </c>
      <c r="E15" s="6" t="n">
        <v>1958110</v>
      </c>
      <c r="F15" s="7">
        <f>B15-E15</f>
        <v/>
      </c>
      <c r="G15" s="4">
        <f>IF(B15&gt;E15,"beats best",IF(B15=E15,"= best","below best"))</f>
        <v/>
      </c>
      <c r="H15" s="4" t="inlineStr">
        <is>
          <t>exact (time limit) + LNS</t>
        </is>
      </c>
      <c r="I15" s="4" t="inlineStr">
        <is>
          <t>out/best_eval/zipF_instance.out</t>
        </is>
      </c>
    </row>
    <row r="16">
      <c r="A16" s="4" t="inlineStr">
        <is>
          <t>big.in</t>
        </is>
      </c>
      <c r="B16" s="5" t="n">
        <v>271267</v>
      </c>
      <c r="C16" s="6" t="n">
        <v>271267</v>
      </c>
      <c r="D16" s="7">
        <f>B16-C16</f>
        <v/>
      </c>
      <c r="E16" s="6" t="n">
        <v>271267</v>
      </c>
      <c r="F16" s="7">
        <f>B16-E16</f>
        <v/>
      </c>
      <c r="G16" s="4">
        <f>IF(B16&gt;E16,"beats best",IF(B16=E16,"= best","below best"))</f>
        <v/>
      </c>
      <c r="H16" s="4" t="inlineStr">
        <is>
          <t>exact (proven optimum)</t>
        </is>
      </c>
      <c r="I16" s="4" t="inlineStr">
        <is>
          <t>out/best_eval/big.out</t>
        </is>
      </c>
    </row>
    <row r="17">
      <c r="A17" s="4" t="inlineStr">
        <is>
          <t>supra.in</t>
        </is>
      </c>
      <c r="B17" s="5" t="n">
        <v>411743</v>
      </c>
      <c r="C17" s="6" t="n">
        <v>411743</v>
      </c>
      <c r="D17" s="7">
        <f>B17-C17</f>
        <v/>
      </c>
      <c r="E17" s="6" t="n">
        <v>411743</v>
      </c>
      <c r="F17" s="7">
        <f>B17-E17</f>
        <v/>
      </c>
      <c r="G17" s="4">
        <f>IF(B17&gt;E17,"beats best",IF(B17=E17,"= best","below best"))</f>
        <v/>
      </c>
      <c r="H17" s="4" t="inlineStr">
        <is>
          <t>exact (proven optimum)</t>
        </is>
      </c>
      <c r="I17" s="4" t="inlineStr">
        <is>
          <t>out/best_eval/supra.out</t>
        </is>
      </c>
    </row>
    <row r="18">
      <c r="A18" s="4" t="inlineStr">
        <is>
          <t>INSATANC2D.in</t>
        </is>
      </c>
      <c r="B18" s="5" t="n">
        <v>132275</v>
      </c>
      <c r="C18" s="6" t="n">
        <v>131647</v>
      </c>
      <c r="D18" s="7">
        <f>B18-C18</f>
        <v/>
      </c>
      <c r="E18" s="6" t="n">
        <v>249794</v>
      </c>
      <c r="F18" s="7">
        <f>B18-E18</f>
        <v/>
      </c>
      <c r="G18" s="4">
        <f>IF(B18&gt;E18,"beats best",IF(B18=E18,"= best","below best"))</f>
        <v/>
      </c>
      <c r="H18" s="4" t="inlineStr">
        <is>
          <t>greedy + re-pack + LNS</t>
        </is>
      </c>
      <c r="I18" s="4" t="inlineStr">
        <is>
          <t>out/best_eval/INSATANC2D.out</t>
        </is>
      </c>
    </row>
    <row r="19">
      <c r="A19" s="4" t="inlineStr">
        <is>
          <t>INSTANCED.in</t>
        </is>
      </c>
      <c r="B19" s="5" t="n">
        <v>1298607</v>
      </c>
      <c r="C19" s="6" t="n">
        <v>1277284</v>
      </c>
      <c r="D19" s="7">
        <f>B19-C19</f>
        <v/>
      </c>
      <c r="E19" s="6" t="n">
        <v>1301742</v>
      </c>
      <c r="F19" s="7">
        <f>B19-E19</f>
        <v/>
      </c>
      <c r="G19" s="4">
        <f>IF(B19&gt;E19,"beats best",IF(B19=E19,"= best","below best"))</f>
        <v/>
      </c>
      <c r="H19" s="4" t="inlineStr">
        <is>
          <t>greedy + re-pack + LNS</t>
        </is>
      </c>
      <c r="I19" s="4" t="inlineStr">
        <is>
          <t>out/best_eval/INSTANCED.out</t>
        </is>
      </c>
    </row>
    <row r="20">
      <c r="A20" s="4" t="inlineStr">
        <is>
          <t>2_2_2_1.in</t>
        </is>
      </c>
      <c r="B20" s="5" t="n">
        <v>951327</v>
      </c>
      <c r="C20" s="6" t="n">
        <v>951327</v>
      </c>
      <c r="D20" s="7">
        <f>B20-C20</f>
        <v/>
      </c>
      <c r="E20" s="6" t="n">
        <v>951327</v>
      </c>
      <c r="F20" s="7">
        <f>B20-E20</f>
        <v/>
      </c>
      <c r="G20" s="4">
        <f>IF(B20&gt;E20,"beats best",IF(B20=E20,"= best","below best"))</f>
        <v/>
      </c>
      <c r="H20" s="4" t="inlineStr">
        <is>
          <t>exact (proven optimum)</t>
        </is>
      </c>
      <c r="I20" s="4" t="inlineStr">
        <is>
          <t>out/best_eval/2_2_2_1.out</t>
        </is>
      </c>
    </row>
    <row r="21">
      <c r="A21" s="4" t="inlineStr">
        <is>
          <t>4_2_4_2.in</t>
        </is>
      </c>
      <c r="B21" s="5" t="n">
        <v>982271</v>
      </c>
      <c r="C21" s="6" t="n">
        <v>655321</v>
      </c>
      <c r="D21" s="7">
        <f>B21-C21</f>
        <v/>
      </c>
      <c r="E21" s="6" t="n">
        <v>982271</v>
      </c>
      <c r="F21" s="7">
        <f>B21-E21</f>
        <v/>
      </c>
      <c r="G21" s="4">
        <f>IF(B21&gt;E21,"beats best",IF(B21=E21,"= best","below best"))</f>
        <v/>
      </c>
      <c r="H21" s="4" t="inlineStr">
        <is>
          <t>exact (proven optimum)</t>
        </is>
      </c>
      <c r="I21" s="4" t="inlineStr">
        <is>
          <t>out/best_eval/4_2_4_2.out</t>
        </is>
      </c>
    </row>
    <row r="22">
      <c r="A22" s="4" t="inlineStr">
        <is>
          <t>6_2_6_2.in</t>
        </is>
      </c>
      <c r="B22" s="5" t="n">
        <v>998499</v>
      </c>
      <c r="C22" s="6" t="n">
        <v>499524</v>
      </c>
      <c r="D22" s="7">
        <f>B22-C22</f>
        <v/>
      </c>
      <c r="E22" s="6" t="n">
        <v>998499</v>
      </c>
      <c r="F22" s="7">
        <f>B22-E22</f>
        <v/>
      </c>
      <c r="G22" s="4">
        <f>IF(B22&gt;E22,"beats best",IF(B22=E22,"= best","below best"))</f>
        <v/>
      </c>
      <c r="H22" s="4" t="inlineStr">
        <is>
          <t>exact (proven optimum)</t>
        </is>
      </c>
      <c r="I22" s="4" t="inlineStr">
        <is>
          <t>out/best_eval/6_2_6_2.out</t>
        </is>
      </c>
    </row>
    <row r="23">
      <c r="A23" s="4" t="inlineStr">
        <is>
          <t>8_2_8_2.in</t>
        </is>
      </c>
      <c r="B23" s="5" t="n">
        <v>991480</v>
      </c>
      <c r="C23" s="6" t="n">
        <v>567228</v>
      </c>
      <c r="D23" s="7">
        <f>B23-C23</f>
        <v/>
      </c>
      <c r="E23" s="6" t="n">
        <v>991480</v>
      </c>
      <c r="F23" s="7">
        <f>B23-E23</f>
        <v/>
      </c>
      <c r="G23" s="4">
        <f>IF(B23&gt;E23,"beats best",IF(B23=E23,"= best","below best"))</f>
        <v/>
      </c>
      <c r="H23" s="4" t="inlineStr">
        <is>
          <t>exact (proven optimum)</t>
        </is>
      </c>
      <c r="I23" s="4" t="inlineStr">
        <is>
          <t>out/best_eval/8_2_8_2.out</t>
        </is>
      </c>
    </row>
    <row r="24">
      <c r="A24" s="4" t="inlineStr">
        <is>
          <t>20_2_20_2.in</t>
        </is>
      </c>
      <c r="B24" s="5" t="n">
        <v>995902</v>
      </c>
      <c r="C24" s="6" t="n">
        <v>524928</v>
      </c>
      <c r="D24" s="7">
        <f>B24-C24</f>
        <v/>
      </c>
      <c r="E24" s="6" t="n">
        <v>995902</v>
      </c>
      <c r="F24" s="7">
        <f>B24-E24</f>
        <v/>
      </c>
      <c r="G24" s="4">
        <f>IF(B24&gt;E24,"beats best",IF(B24=E24,"= best","below best"))</f>
        <v/>
      </c>
      <c r="H24" s="4" t="inlineStr">
        <is>
          <t>exact (proven optimum)</t>
        </is>
      </c>
      <c r="I24" s="4" t="inlineStr">
        <is>
          <t>out/best_eval/20_2_20_2.out</t>
        </is>
      </c>
    </row>
    <row r="25">
      <c r="A25" s="4" t="inlineStr">
        <is>
          <t>realistic_large_clustered.in</t>
        </is>
      </c>
      <c r="B25" s="5" t="n">
        <v>951792</v>
      </c>
      <c r="C25" s="6" t="n">
        <v>947788</v>
      </c>
      <c r="D25" s="7">
        <f>B25-C25</f>
        <v/>
      </c>
      <c r="E25" s="6" t="n">
        <v>951237</v>
      </c>
      <c r="F25" s="7">
        <f>B25-E25</f>
        <v/>
      </c>
      <c r="G25" s="4">
        <f>IF(B25&gt;E25,"beats best",IF(B25=E25,"= best","below best"))</f>
        <v/>
      </c>
      <c r="H25" s="4" t="inlineStr">
        <is>
          <t>greedy + re-pack + LNS</t>
        </is>
      </c>
      <c r="I25" s="4" t="inlineStr">
        <is>
          <t>out/best_eval/realistic_large_clustered.out</t>
        </is>
      </c>
    </row>
    <row r="26">
      <c r="A26" s="4" t="inlineStr">
        <is>
          <t>realistic_large_random.in</t>
        </is>
      </c>
      <c r="B26" s="5" t="n">
        <v>930980</v>
      </c>
      <c r="C26" s="6" t="n">
        <v>928932</v>
      </c>
      <c r="D26" s="7">
        <f>B26-C26</f>
        <v/>
      </c>
      <c r="E26" s="6" t="n">
        <v>930650</v>
      </c>
      <c r="F26" s="7">
        <f>B26-E26</f>
        <v/>
      </c>
      <c r="G26" s="4">
        <f>IF(B26&gt;E26,"beats best",IF(B26=E26,"= best","below best"))</f>
        <v/>
      </c>
      <c r="H26" s="4" t="inlineStr">
        <is>
          <t>greedy + re-pack + LNS</t>
        </is>
      </c>
      <c r="I26" s="4" t="inlineStr">
        <is>
          <t>out/best_eval/realistic_large_random.out</t>
        </is>
      </c>
    </row>
    <row r="27">
      <c r="A27" s="4" t="inlineStr">
        <is>
          <t>dense</t>
        </is>
      </c>
      <c r="B27" s="5" t="n">
        <v>69683</v>
      </c>
      <c r="C27" s="6" t="n">
        <v>69654</v>
      </c>
      <c r="D27" s="7">
        <f>B27-C27</f>
        <v/>
      </c>
      <c r="E27" s="6" t="n">
        <v>69683</v>
      </c>
      <c r="F27" s="7">
        <f>B27-E27</f>
        <v/>
      </c>
      <c r="G27" s="4">
        <f>IF(B27&gt;E27,"beats best",IF(B27=E27,"= best","below best"))</f>
        <v/>
      </c>
      <c r="H27" s="4" t="inlineStr">
        <is>
          <t>greedy + re-pack</t>
        </is>
      </c>
      <c r="I27" s="4" t="inlineStr">
        <is>
          <t>out/best_eval/dense.out</t>
        </is>
      </c>
    </row>
    <row r="28">
      <c r="A28" s="4" t="inlineStr">
        <is>
          <t>dense2</t>
        </is>
      </c>
      <c r="B28" s="5" t="n">
        <v>284493</v>
      </c>
      <c r="C28" s="6" t="n">
        <v>284493</v>
      </c>
      <c r="D28" s="7">
        <f>B28-C28</f>
        <v/>
      </c>
      <c r="E28" s="6" t="n">
        <v>284493</v>
      </c>
      <c r="F28" s="7">
        <f>B28-E28</f>
        <v/>
      </c>
      <c r="G28" s="4">
        <f>IF(B28&gt;E28,"beats best",IF(B28=E28,"= best","below best"))</f>
        <v/>
      </c>
      <c r="H28" s="4" t="inlineStr">
        <is>
          <t>greedy + re-pack</t>
        </is>
      </c>
      <c r="I28" s="4" t="inlineStr">
        <is>
          <t>out/best_eval/dense2.out</t>
        </is>
      </c>
    </row>
    <row r="29">
      <c r="A29" s="4" t="inlineStr">
        <is>
          <t>medium_mixed_lambda.in</t>
        </is>
      </c>
      <c r="B29" s="5" t="n">
        <v>51683</v>
      </c>
      <c r="C29" s="6" t="n">
        <v>51168</v>
      </c>
      <c r="D29" s="7">
        <f>B29-C29</f>
        <v/>
      </c>
      <c r="E29" s="6" t="n">
        <v>51621</v>
      </c>
      <c r="F29" s="7">
        <f>B29-E29</f>
        <v/>
      </c>
      <c r="G29" s="4">
        <f>IF(B29&gt;E29,"beats best",IF(B29=E29,"= best","below best"))</f>
        <v/>
      </c>
      <c r="H29" s="4" t="inlineStr">
        <is>
          <t>greedy + re-pack + LNS</t>
        </is>
      </c>
      <c r="I29" s="4" t="inlineStr">
        <is>
          <t>out/best_eval/medium_mixed_lambda.out</t>
        </is>
      </c>
    </row>
    <row r="30">
      <c r="A30" s="4" t="inlineStr">
        <is>
          <t>medium_skew_dense_dejavu.in</t>
        </is>
      </c>
      <c r="B30" s="5" t="n">
        <v>146546</v>
      </c>
      <c r="C30" s="6" t="n">
        <v>146067</v>
      </c>
      <c r="D30" s="7">
        <f>B30-C30</f>
        <v/>
      </c>
      <c r="E30" s="6" t="n">
        <v>146440</v>
      </c>
      <c r="F30" s="7">
        <f>B30-E30</f>
        <v/>
      </c>
      <c r="G30" s="4">
        <f>IF(B30&gt;E30,"beats best",IF(B30=E30,"= best","below best"))</f>
        <v/>
      </c>
      <c r="H30" s="4" t="inlineStr">
        <is>
          <t>greedy + re-pack + LNS</t>
        </is>
      </c>
      <c r="I30" s="4" t="inlineStr">
        <is>
          <t>out/best_eval/medium_skew_dense_dejavu.out</t>
        </is>
      </c>
    </row>
    <row r="31">
      <c r="A31" s="4" t="inlineStr">
        <is>
          <t>medium_skew_sparse_lambda.in</t>
        </is>
      </c>
      <c r="B31" s="5" t="n">
        <v>43821</v>
      </c>
      <c r="C31" s="6" t="n">
        <v>43283</v>
      </c>
      <c r="D31" s="7">
        <f>B31-C31</f>
        <v/>
      </c>
      <c r="E31" s="6" t="n">
        <v>43763</v>
      </c>
      <c r="F31" s="7">
        <f>B31-E31</f>
        <v/>
      </c>
      <c r="G31" s="4">
        <f>IF(B31&gt;E31,"beats best",IF(B31=E31,"= best","below best"))</f>
        <v/>
      </c>
      <c r="H31" s="4" t="inlineStr">
        <is>
          <t>greedy + re-pack + LNS</t>
        </is>
      </c>
      <c r="I31" s="4" t="inlineStr">
        <is>
          <t>out/best_eval/medium_skew_sparse_lambda.out</t>
        </is>
      </c>
    </row>
    <row r="32">
      <c r="A32" s="4" t="inlineStr">
        <is>
          <t>medium_flat_dense_dejavu.in</t>
        </is>
      </c>
      <c r="B32" s="5" t="n">
        <v>89528</v>
      </c>
      <c r="C32" s="6" t="n">
        <v>89295</v>
      </c>
      <c r="D32" s="7">
        <f>B32-C32</f>
        <v/>
      </c>
      <c r="E32" s="6" t="n">
        <v>89890</v>
      </c>
      <c r="F32" s="7">
        <f>B32-E32</f>
        <v/>
      </c>
      <c r="G32" s="4">
        <f>IF(B32&gt;E32,"beats best",IF(B32=E32,"= best","below best"))</f>
        <v/>
      </c>
      <c r="H32" s="4" t="inlineStr">
        <is>
          <t>greedy + re-pack + LNS</t>
        </is>
      </c>
      <c r="I32" s="4" t="inlineStr">
        <is>
          <t>out/best_eval/medium_flat_dense_dejavu.out</t>
        </is>
      </c>
    </row>
    <row r="33">
      <c r="A33" s="4" t="inlineStr">
        <is>
          <t>medium_flat_sparse_lambda.in</t>
        </is>
      </c>
      <c r="B33" s="5" t="n">
        <v>23953</v>
      </c>
      <c r="C33" s="6" t="n">
        <v>23597</v>
      </c>
      <c r="D33" s="7">
        <f>B33-C33</f>
        <v/>
      </c>
      <c r="E33" s="6" t="n">
        <v>24012</v>
      </c>
      <c r="F33" s="7">
        <f>B33-E33</f>
        <v/>
      </c>
      <c r="G33" s="4">
        <f>IF(B33&gt;E33,"beats best",IF(B33=E33,"= best","below best"))</f>
        <v/>
      </c>
      <c r="H33" s="4" t="inlineStr">
        <is>
          <t>greedy + re-pack + LNS</t>
        </is>
      </c>
      <c r="I33" s="4" t="inlineStr">
        <is>
          <t>out/best_eval/medium_flat_sparse_lambda.out</t>
        </is>
      </c>
    </row>
    <row r="34">
      <c r="A34" s="8" t="inlineStr">
        <is>
          <t>Total</t>
        </is>
      </c>
      <c r="B34" s="9">
        <f>SUM(B5:B33)</f>
        <v/>
      </c>
      <c r="C34" s="9">
        <f>SUM(C5:C33)</f>
        <v/>
      </c>
      <c r="D34" s="10">
        <f>SUM(D5:D33)</f>
        <v/>
      </c>
      <c r="E34" s="9">
        <f>SUM(E5:E33)</f>
        <v/>
      </c>
      <c r="F34" s="10">
        <f>SUM(F5:F33)</f>
        <v/>
      </c>
      <c r="G34" s="8">
        <f>COUNTIF(G5:G33,"beats best")+COUNTIF(G5:G33,"= best")&amp;" of "&amp;ROWS(G5:G33)&amp;" at or above best"</f>
        <v/>
      </c>
    </row>
    <row r="36">
      <c r="A36" s="11" t="inlineStr">
        <is>
          <t>Sources: old scores and best-in-class read from the shared class sheet (fetched 2026-10-18); new scores recomputed with the official scoring formula (solution.py score()) on each .out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44" customWidth="1" min="4" max="4"/>
  </cols>
  <sheetData>
    <row r="1">
      <c r="A1" s="1" t="inlineStr">
        <is>
          <t>Evaluation instances not listed in the shared sheet (copies of the trap instances)</t>
        </is>
      </c>
    </row>
    <row r="3">
      <c r="A3" s="12" t="inlineStr">
        <is>
          <t>Instance</t>
        </is>
      </c>
      <c r="B3" s="12" t="inlineStr">
        <is>
          <t>Group D – NEW score</t>
        </is>
      </c>
      <c r="C3" s="12" t="inlineStr">
        <is>
          <t>How it was obtained</t>
        </is>
      </c>
      <c r="D3" s="12" t="inlineStr">
        <is>
          <t>.out file</t>
        </is>
      </c>
    </row>
    <row r="4">
      <c r="A4" s="4" t="inlineStr">
        <is>
          <t>any_size_le_X (1)</t>
        </is>
      </c>
      <c r="B4" s="5" t="n">
        <v>951327</v>
      </c>
      <c r="C4" s="4" t="inlineStr">
        <is>
          <t>exact (proven optimum)</t>
        </is>
      </c>
      <c r="D4" s="4" t="inlineStr">
        <is>
          <t>out/best_eval/any_size_le_X (1).out</t>
        </is>
      </c>
    </row>
    <row r="5">
      <c r="A5" s="4" t="inlineStr">
        <is>
          <t>le_X_over_2 (1)</t>
        </is>
      </c>
      <c r="B5" s="5" t="n">
        <v>982271</v>
      </c>
      <c r="C5" s="4" t="inlineStr">
        <is>
          <t>exact (proven optimum)</t>
        </is>
      </c>
      <c r="D5" s="4" t="inlineStr">
        <is>
          <t>out/best_eval/le_X_over_2 (1).out</t>
        </is>
      </c>
    </row>
    <row r="6">
      <c r="A6" s="4" t="inlineStr">
        <is>
          <t>le_X_over_4 (1)</t>
        </is>
      </c>
      <c r="B6" s="5" t="n">
        <v>991480</v>
      </c>
      <c r="C6" s="4" t="inlineStr">
        <is>
          <t>exact (proven optimum)</t>
        </is>
      </c>
      <c r="D6" s="4" t="inlineStr">
        <is>
          <t>out/best_eval/le_X_over_4 (1).out</t>
        </is>
      </c>
    </row>
    <row r="7">
      <c r="A7" s="4" t="inlineStr">
        <is>
          <t>le_X_over_10 (1)</t>
        </is>
      </c>
      <c r="B7" s="5" t="n">
        <v>995902</v>
      </c>
      <c r="C7" s="4" t="inlineStr">
        <is>
          <t>exact (proven optimum)</t>
        </is>
      </c>
      <c r="D7" s="4" t="inlineStr">
        <is>
          <t>out/best_eval/le_X_over_10 (1).out</t>
        </is>
      </c>
    </row>
    <row r="8">
      <c r="A8" s="4" t="inlineStr">
        <is>
          <t>unit_size (1)</t>
        </is>
      </c>
      <c r="B8" s="5" t="n">
        <v>998499</v>
      </c>
      <c r="C8" s="4" t="inlineStr">
        <is>
          <t>exact (proven optimum)</t>
        </is>
      </c>
      <c r="D8" s="4" t="inlineStr">
        <is>
          <t>out/best_eval/unit_size (1).out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2026-10-18T17:42:08Z</dcterms:created>
  <dcterms:modified xmlns:dcterms="http://purl.org/dc/terms/" xmlns:xsi="http://www.w3.org/2001/XMLSchema-instance" xsi:type="dcterms:W3CDTF">2026-10-18T17:42:18Z</dcterms:modified>
</cp:coreProperties>
</file>